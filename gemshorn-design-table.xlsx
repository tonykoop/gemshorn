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Family" sheetId="2" r:id="rId2"/>
    <sheet name="Hole Schedule" sheetId="3" r:id="rId3"/>
    <sheet name="Historical 4+T" sheetId="4" r:id="rId4"/>
    <sheet name="Validation" sheetId="5" r:id="rId5"/>
  </sheets>
  <calcPr calcMode="auto" fullCalcOnLoad="1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Slip-Cast Gemshorn Parametric Design Table</t>
        </is>
      </c>
    </row>
    <row r="2">
      <c r="A2" t="inlineStr">
        <is>
          <t>Generated</t>
        </is>
      </c>
      <c r="B2" t="inlineStr">
        <is>
          <t>2026-05-02</t>
        </is>
      </c>
    </row>
    <row r="3">
      <c r="A3" t="inlineStr">
        <is>
          <t>Parameter</t>
        </is>
      </c>
      <c r="B3" t="inlineStr">
        <is>
          <t>Value</t>
        </is>
      </c>
      <c r="C3" t="inlineStr">
        <is>
          <t>Units</t>
        </is>
      </c>
      <c r="D3" t="inlineStr">
        <is>
          <t>Notes</t>
        </is>
      </c>
    </row>
    <row r="4">
      <c r="A4" t="inlineStr">
        <is>
          <t>A4 frequency</t>
        </is>
      </c>
      <c r="B4">
        <v>440</v>
      </c>
      <c r="C4" t="inlineStr">
        <is>
          <t>Hz</t>
        </is>
      </c>
      <c r="D4" t="inlineStr">
        <is>
          <t>Equal temperament reference</t>
        </is>
      </c>
    </row>
    <row r="5">
      <c r="A5" t="inlineStr">
        <is>
          <t>Base MIDI</t>
        </is>
      </c>
      <c r="B5">
        <v>72</v>
      </c>
      <c r="C5" t="inlineStr">
        <is>
          <t>MIDI</t>
        </is>
      </c>
      <c r="D5" t="inlineStr">
        <is>
          <t>C5 soprano baseline</t>
        </is>
      </c>
    </row>
    <row r="6">
      <c r="A6" t="inlineStr">
        <is>
          <t>Base frequency</t>
        </is>
      </c>
      <c r="B6">
        <f>B4*POWER(2,(B5-69)/12)</f>
      </c>
      <c r="C6" t="inlineStr">
        <is>
          <t>Hz</t>
        </is>
      </c>
      <c r="D6" t="inlineStr">
        <is>
          <t>Should equal 523.251 Hz</t>
        </is>
      </c>
    </row>
    <row r="7">
      <c r="A7" t="inlineStr">
        <is>
          <t>Speed of sound</t>
        </is>
      </c>
      <c r="B7">
        <v>13549.0</v>
      </c>
      <c r="C7" t="inlineStr">
        <is>
          <t>in/s</t>
        </is>
      </c>
      <c r="D7" t="inlineStr">
        <is>
          <t>Approx 68 F</t>
        </is>
      </c>
    </row>
    <row r="8">
      <c r="A8" t="inlineStr">
        <is>
          <t>Shrinkage</t>
        </is>
      </c>
      <c r="B8">
        <v>0.12</v>
      </c>
      <c r="C8" t="inlineStr">
        <is>
          <t>linear fraction</t>
        </is>
      </c>
      <c r="D8" t="inlineStr">
        <is>
          <t>Replace with fired test-bar value</t>
        </is>
      </c>
    </row>
    <row r="9">
      <c r="A9" t="inlineStr">
        <is>
          <t>Base centerline length</t>
        </is>
      </c>
      <c r="B9">
        <v>9.25</v>
      </c>
      <c r="C9" t="inlineStr">
        <is>
          <t>in</t>
        </is>
      </c>
      <c r="D9" t="inlineStr">
        <is>
          <t>Fired soprano C</t>
        </is>
      </c>
    </row>
    <row r="10">
      <c r="A10" t="inlineStr">
        <is>
          <t>Base wide OD</t>
        </is>
      </c>
      <c r="B10">
        <v>1.55</v>
      </c>
      <c r="C10" t="inlineStr">
        <is>
          <t>in</t>
        </is>
      </c>
      <c r="D10" t="inlineStr">
        <is>
          <t>Fired soprano C</t>
        </is>
      </c>
    </row>
    <row r="11">
      <c r="A11" t="inlineStr">
        <is>
          <t>Base tip OD</t>
        </is>
      </c>
      <c r="B11">
        <v>0.36</v>
      </c>
      <c r="C11" t="inlineStr">
        <is>
          <t>in</t>
        </is>
      </c>
      <c r="D11" t="inlineStr">
        <is>
          <t>Fired soprano C</t>
        </is>
      </c>
    </row>
    <row r="12">
      <c r="A12" t="inlineStr">
        <is>
          <t>Base wall</t>
        </is>
      </c>
      <c r="B12">
        <v>0.13</v>
      </c>
      <c r="C12" t="inlineStr">
        <is>
          <t>in</t>
        </is>
      </c>
      <c r="D12" t="inlineStr">
        <is>
          <t>Fired soprano C</t>
        </is>
      </c>
    </row>
    <row r="13">
      <c r="A13" t="inlineStr">
        <is>
          <t>Base window width</t>
        </is>
      </c>
      <c r="B13">
        <v>0.43</v>
      </c>
      <c r="C13" t="inlineStr">
        <is>
          <t>in</t>
        </is>
      </c>
      <c r="D13" t="inlineStr">
        <is>
          <t>Fired soprano C</t>
        </is>
      </c>
    </row>
    <row r="14">
      <c r="A14" t="inlineStr">
        <is>
          <t>Base window height</t>
        </is>
      </c>
      <c r="B14">
        <v>0.14</v>
      </c>
      <c r="C14" t="inlineStr">
        <is>
          <t>in</t>
        </is>
      </c>
      <c r="D14" t="inlineStr">
        <is>
          <t>Fired soprano 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Key</t>
        </is>
      </c>
      <c r="D1" t="inlineStr">
        <is>
          <t>MIDI</t>
        </is>
      </c>
      <c r="E1" t="inlineStr">
        <is>
          <t>Frequency Hz</t>
        </is>
      </c>
      <c r="F1" t="inlineStr">
        <is>
          <t>Scale</t>
        </is>
      </c>
      <c r="G1" t="inlineStr">
        <is>
          <t>Fired length in</t>
        </is>
      </c>
      <c r="H1" t="inlineStr">
        <is>
          <t>Master length in</t>
        </is>
      </c>
      <c r="I1" t="inlineStr">
        <is>
          <t>Fired wide OD in</t>
        </is>
      </c>
      <c r="J1" t="inlineStr">
        <is>
          <t>Fired wall in</t>
        </is>
      </c>
      <c r="K1" t="inlineStr">
        <is>
          <t>Fired wide ID in</t>
        </is>
      </c>
      <c r="L1" t="inlineStr">
        <is>
          <t>Volume in3</t>
        </is>
      </c>
      <c r="M1" t="inlineStr">
        <is>
          <t>Volume ml</t>
        </is>
      </c>
      <c r="N1" t="inlineStr">
        <is>
          <t>Window W in</t>
        </is>
      </c>
      <c r="O1" t="inlineStr">
        <is>
          <t>Window H in</t>
        </is>
      </c>
    </row>
    <row r="2">
      <c r="A2" t="inlineStr">
        <is>
          <t>GEM-SC-F3</t>
        </is>
      </c>
      <c r="B2" t="inlineStr">
        <is>
          <t>Bass F</t>
        </is>
      </c>
      <c r="C2" t="inlineStr">
        <is>
          <t>F3</t>
        </is>
      </c>
      <c r="D2">
        <v>53</v>
      </c>
      <c r="E2">
        <f>Inputs!$B$4*POWER(2,(D2-69)/12)</f>
      </c>
      <c r="F2">
        <f>Inputs!$B$6/E2</f>
      </c>
      <c r="G2">
        <f>Inputs!$B$9*F2</f>
      </c>
      <c r="H2">
        <f>G2/(1-Inputs!$B$8)</f>
      </c>
      <c r="I2">
        <f>Inputs!$B$10*F2</f>
      </c>
      <c r="J2">
        <f>MAX(0.11,MIN(0.24,Inputs!$B$12*POWER(F2,0.65)))</f>
      </c>
      <c r="K2">
        <f>I2-2*J2</f>
      </c>
      <c r="L2">
        <f>PI()*G2/3*((K2/2)^2+(K2/2)*(MAX(0.03,Inputs!$B$11*F2-2*J2)/2)+(MAX(0.03,Inputs!$B$11*F2-2*J2)/2)^2)</f>
      </c>
      <c r="M2">
        <f>L2*16.387064</f>
      </c>
      <c r="N2">
        <f>Inputs!$B$13*F2</f>
      </c>
      <c r="O2">
        <f>Inputs!$B$14*F2</f>
      </c>
    </row>
    <row r="3">
      <c r="A3" t="inlineStr">
        <is>
          <t>GEM-SC-C4</t>
        </is>
      </c>
      <c r="B3" t="inlineStr">
        <is>
          <t>Tenor C</t>
        </is>
      </c>
      <c r="C3" t="inlineStr">
        <is>
          <t>C4</t>
        </is>
      </c>
      <c r="D3">
        <v>60</v>
      </c>
      <c r="E3">
        <f>Inputs!$B$4*POWER(2,(D3-69)/12)</f>
      </c>
      <c r="F3">
        <f>Inputs!$B$6/E3</f>
      </c>
      <c r="G3">
        <f>Inputs!$B$9*F3</f>
      </c>
      <c r="H3">
        <f>G3/(1-Inputs!$B$8)</f>
      </c>
      <c r="I3">
        <f>Inputs!$B$10*F3</f>
      </c>
      <c r="J3">
        <f>MAX(0.11,MIN(0.24,Inputs!$B$12*POWER(F3,0.65)))</f>
      </c>
      <c r="K3">
        <f>I3-2*J3</f>
      </c>
      <c r="L3">
        <f>PI()*G3/3*((K3/2)^2+(K3/2)*(MAX(0.03,Inputs!$B$11*F3-2*J3)/2)+(MAX(0.03,Inputs!$B$11*F3-2*J3)/2)^2)</f>
      </c>
      <c r="M3">
        <f>L3*16.387064</f>
      </c>
      <c r="N3">
        <f>Inputs!$B$13*F3</f>
      </c>
      <c r="O3">
        <f>Inputs!$B$14*F3</f>
      </c>
    </row>
    <row r="4">
      <c r="A4" t="inlineStr">
        <is>
          <t>GEM-SC-F4</t>
        </is>
      </c>
      <c r="B4" t="inlineStr">
        <is>
          <t>Alto F</t>
        </is>
      </c>
      <c r="C4" t="inlineStr">
        <is>
          <t>F4</t>
        </is>
      </c>
      <c r="D4">
        <v>65</v>
      </c>
      <c r="E4">
        <f>Inputs!$B$4*POWER(2,(D4-69)/12)</f>
      </c>
      <c r="F4">
        <f>Inputs!$B$6/E4</f>
      </c>
      <c r="G4">
        <f>Inputs!$B$9*F4</f>
      </c>
      <c r="H4">
        <f>G4/(1-Inputs!$B$8)</f>
      </c>
      <c r="I4">
        <f>Inputs!$B$10*F4</f>
      </c>
      <c r="J4">
        <f>MAX(0.11,MIN(0.24,Inputs!$B$12*POWER(F4,0.65)))</f>
      </c>
      <c r="K4">
        <f>I4-2*J4</f>
      </c>
      <c r="L4">
        <f>PI()*G4/3*((K4/2)^2+(K4/2)*(MAX(0.03,Inputs!$B$11*F4-2*J4)/2)+(MAX(0.03,Inputs!$B$11*F4-2*J4)/2)^2)</f>
      </c>
      <c r="M4">
        <f>L4*16.387064</f>
      </c>
      <c r="N4">
        <f>Inputs!$B$13*F4</f>
      </c>
      <c r="O4">
        <f>Inputs!$B$14*F4</f>
      </c>
    </row>
    <row r="5">
      <c r="A5" t="inlineStr">
        <is>
          <t>GEM-SC-C5</t>
        </is>
      </c>
      <c r="B5" t="inlineStr">
        <is>
          <t>Soprano C</t>
        </is>
      </c>
      <c r="C5" t="inlineStr">
        <is>
          <t>C5</t>
        </is>
      </c>
      <c r="D5">
        <v>72</v>
      </c>
      <c r="E5">
        <f>Inputs!$B$4*POWER(2,(D5-69)/12)</f>
      </c>
      <c r="F5">
        <f>Inputs!$B$6/E5</f>
      </c>
      <c r="G5">
        <f>Inputs!$B$9*F5</f>
      </c>
      <c r="H5">
        <f>G5/(1-Inputs!$B$8)</f>
      </c>
      <c r="I5">
        <f>Inputs!$B$10*F5</f>
      </c>
      <c r="J5">
        <f>MAX(0.11,MIN(0.24,Inputs!$B$12*POWER(F5,0.65)))</f>
      </c>
      <c r="K5">
        <f>I5-2*J5</f>
      </c>
      <c r="L5">
        <f>PI()*G5/3*((K5/2)^2+(K5/2)*(MAX(0.03,Inputs!$B$11*F5-2*J5)/2)+(MAX(0.03,Inputs!$B$11*F5-2*J5)/2)^2)</f>
      </c>
      <c r="M5">
        <f>L5*16.387064</f>
      </c>
      <c r="N5">
        <f>Inputs!$B$13*F5</f>
      </c>
      <c r="O5">
        <f>Inputs!$B$14*F5</f>
      </c>
    </row>
    <row r="6">
      <c r="A6" t="inlineStr">
        <is>
          <t>GEM-SC-F5</t>
        </is>
      </c>
      <c r="B6" t="inlineStr">
        <is>
          <t>Sopranino F</t>
        </is>
      </c>
      <c r="C6" t="inlineStr">
        <is>
          <t>F5</t>
        </is>
      </c>
      <c r="D6">
        <v>77</v>
      </c>
      <c r="E6">
        <f>Inputs!$B$4*POWER(2,(D6-69)/12)</f>
      </c>
      <c r="F6">
        <f>Inputs!$B$6/E6</f>
      </c>
      <c r="G6">
        <f>Inputs!$B$9*F6</f>
      </c>
      <c r="H6">
        <f>G6/(1-Inputs!$B$8)</f>
      </c>
      <c r="I6">
        <f>Inputs!$B$10*F6</f>
      </c>
      <c r="J6">
        <f>MAX(0.11,MIN(0.24,Inputs!$B$12*POWER(F6,0.65)))</f>
      </c>
      <c r="K6">
        <f>I6-2*J6</f>
      </c>
      <c r="L6">
        <f>PI()*G6/3*((K6/2)^2+(K6/2)*(MAX(0.03,Inputs!$B$11*F6-2*J6)/2)+(MAX(0.03,Inputs!$B$11*F6-2*J6)/2)^2)</f>
      </c>
      <c r="M6">
        <f>L6*16.387064</f>
      </c>
      <c r="N6">
        <f>Inputs!$B$13*F6</f>
      </c>
      <c r="O6">
        <f>Inputs!$B$14*F6</f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Instrument ID</t>
        </is>
      </c>
      <c r="B1" t="inlineStr">
        <is>
          <t>Hole</t>
        </is>
      </c>
      <c r="C1" t="inlineStr">
        <is>
          <t>Face</t>
        </is>
      </c>
      <c r="D1" t="inlineStr">
        <is>
          <t>Target interval semitones</t>
        </is>
      </c>
      <c r="E1" t="inlineStr">
        <is>
          <t>Prev interval</t>
        </is>
      </c>
      <c r="F1" t="inlineStr">
        <is>
          <t>Position pct</t>
        </is>
      </c>
      <c r="G1" t="inlineStr">
        <is>
          <t>Fired position in</t>
        </is>
      </c>
      <c r="H1" t="inlineStr">
        <is>
          <t>Master position in</t>
        </is>
      </c>
      <c r="I1" t="inlineStr">
        <is>
          <t>Fired diameter in</t>
        </is>
      </c>
      <c r="J1" t="inlineStr">
        <is>
          <t>Greenware drill start in</t>
        </is>
      </c>
      <c r="K1" t="inlineStr">
        <is>
          <t>Incremental conductance</t>
        </is>
      </c>
      <c r="L1" t="inlineStr">
        <is>
          <t>Notes</t>
        </is>
      </c>
    </row>
    <row r="2">
      <c r="A2" t="inlineStr">
        <is>
          <t>GEM-SC-F3</t>
        </is>
      </c>
      <c r="B2" t="inlineStr">
        <is>
          <t>H1</t>
        </is>
      </c>
      <c r="C2" t="inlineStr">
        <is>
          <t>front distal</t>
        </is>
      </c>
      <c r="D2">
        <v>2</v>
      </c>
      <c r="E2">
        <v>0</v>
      </c>
      <c r="F2">
        <v>0.479</v>
      </c>
      <c r="G2">
        <v>13.277248161742714</v>
      </c>
      <c r="H2">
        <v>15.087782001980356</v>
      </c>
      <c r="I2">
        <v>0.3408650625720186</v>
      </c>
      <c r="J2">
        <v>0.3873466620136575</v>
      </c>
      <c r="K2">
        <v>0.237106495357994</v>
      </c>
      <c r="L2" t="inlineStr">
        <is>
          <t>open first for scale degree 2</t>
        </is>
      </c>
    </row>
    <row r="3">
      <c r="A3" t="inlineStr">
        <is>
          <t>GEM-SC-F3</t>
        </is>
      </c>
      <c r="B3" t="inlineStr">
        <is>
          <t>H2</t>
        </is>
      </c>
      <c r="C3" t="inlineStr">
        <is>
          <t>front</t>
        </is>
      </c>
      <c r="D3">
        <v>4</v>
      </c>
      <c r="E3">
        <v>2</v>
      </c>
      <c r="F3">
        <v>0.424</v>
      </c>
      <c r="G3">
        <v>11.75272071102069</v>
      </c>
      <c r="H3">
        <v>13.355364444341694</v>
      </c>
      <c r="I3">
        <v>0.39358848459684553</v>
      </c>
      <c r="J3">
        <v>0.44725964158732445</v>
      </c>
      <c r="K3">
        <v>0.2987354645683375</v>
      </c>
      <c r="L3" t="inlineStr">
        <is>
          <t>open second for scale degree 3</t>
        </is>
      </c>
    </row>
    <row r="4">
      <c r="A4" t="inlineStr">
        <is>
          <t>GEM-SC-F3</t>
        </is>
      </c>
      <c r="B4" t="inlineStr">
        <is>
          <t>H3</t>
        </is>
      </c>
      <c r="C4" t="inlineStr">
        <is>
          <t>front</t>
        </is>
      </c>
      <c r="D4">
        <v>5</v>
      </c>
      <c r="E4">
        <v>4</v>
      </c>
      <c r="F4">
        <v>0.369</v>
      </c>
      <c r="G4">
        <v>10.228193260298667</v>
      </c>
      <c r="H4">
        <v>11.622946886703032</v>
      </c>
      <c r="I4">
        <v>0.2856584956756361</v>
      </c>
      <c r="J4">
        <v>0.32461192690413193</v>
      </c>
      <c r="K4">
        <v>0.17733325335997274</v>
      </c>
      <c r="L4" t="inlineStr">
        <is>
          <t>open third for scale degree 4</t>
        </is>
      </c>
    </row>
    <row r="5">
      <c r="A5" t="inlineStr">
        <is>
          <t>GEM-SC-F3</t>
        </is>
      </c>
      <c r="B5" t="inlineStr">
        <is>
          <t>H4</t>
        </is>
      </c>
      <c r="C5" t="inlineStr">
        <is>
          <t>front</t>
        </is>
      </c>
      <c r="D5">
        <v>7</v>
      </c>
      <c r="E5">
        <v>5</v>
      </c>
      <c r="F5">
        <v>0.316</v>
      </c>
      <c r="G5">
        <v>8.759103171421081</v>
      </c>
      <c r="H5">
        <v>9.953526331160319</v>
      </c>
      <c r="I5">
        <v>0.49135428224997074</v>
      </c>
      <c r="J5">
        <v>0.5583571389204213</v>
      </c>
      <c r="K5">
        <v>0.4224757455543704</v>
      </c>
      <c r="L5" t="inlineStr">
        <is>
          <t>open fourth for scale degree 5</t>
        </is>
      </c>
    </row>
    <row r="6">
      <c r="A6" t="inlineStr">
        <is>
          <t>GEM-SC-F3</t>
        </is>
      </c>
      <c r="B6" t="inlineStr">
        <is>
          <t>H5</t>
        </is>
      </c>
      <c r="C6" t="inlineStr">
        <is>
          <t>front</t>
        </is>
      </c>
      <c r="D6">
        <v>9</v>
      </c>
      <c r="E6">
        <v>7</v>
      </c>
      <c r="F6">
        <v>0.263</v>
      </c>
      <c r="G6">
        <v>7.290013082543495</v>
      </c>
      <c r="H6">
        <v>8.284105775617608</v>
      </c>
      <c r="I6">
        <v>0.5722642376539528</v>
      </c>
      <c r="J6">
        <v>0.6503002700613101</v>
      </c>
      <c r="K6">
        <v>0.5322860848939817</v>
      </c>
      <c r="L6" t="inlineStr">
        <is>
          <t>open fifth for scale degree 6</t>
        </is>
      </c>
    </row>
    <row r="7">
      <c r="A7" t="inlineStr">
        <is>
          <t>GEM-SC-F3</t>
        </is>
      </c>
      <c r="B7" t="inlineStr">
        <is>
          <t>H6</t>
        </is>
      </c>
      <c r="C7" t="inlineStr">
        <is>
          <t>front</t>
        </is>
      </c>
      <c r="D7">
        <v>11</v>
      </c>
      <c r="E7">
        <v>9</v>
      </c>
      <c r="F7">
        <v>0.21</v>
      </c>
      <c r="G7">
        <v>5.820922993665908</v>
      </c>
      <c r="H7">
        <v>6.614685220074896</v>
      </c>
      <c r="I7">
        <v>0.6691552478718973</v>
      </c>
      <c r="J7">
        <v>0.7604036907635197</v>
      </c>
      <c r="K7">
        <v>0.6706384429240565</v>
      </c>
      <c r="L7" t="inlineStr">
        <is>
          <t>open sixth for scale degree 7</t>
        </is>
      </c>
    </row>
    <row r="8">
      <c r="A8" t="inlineStr">
        <is>
          <t>GEM-SC-F3</t>
        </is>
      </c>
      <c r="B8" t="inlineStr">
        <is>
          <t>H7</t>
        </is>
      </c>
      <c r="C8" t="inlineStr">
        <is>
          <t>front proximal</t>
        </is>
      </c>
      <c r="D8">
        <v>12</v>
      </c>
      <c r="E8">
        <v>11</v>
      </c>
      <c r="F8">
        <v>0.157</v>
      </c>
      <c r="G8">
        <v>4.3518329047883215</v>
      </c>
      <c r="H8">
        <v>4.945264664532184</v>
      </c>
      <c r="I8">
        <v>0.4727482057153125</v>
      </c>
      <c r="J8">
        <v>0.5372138701310369</v>
      </c>
      <c r="K8">
        <v>0.3980996935996</v>
      </c>
      <c r="L8" t="inlineStr">
        <is>
          <t>open seventh for octave</t>
        </is>
      </c>
    </row>
    <row r="9">
      <c r="A9" t="inlineStr">
        <is>
          <t>GEM-SC-F3</t>
        </is>
      </c>
      <c r="B9" t="inlineStr">
        <is>
          <t>T1</t>
        </is>
      </c>
      <c r="C9" t="inlineStr">
        <is>
          <t>back thumb</t>
        </is>
      </c>
      <c r="D9">
        <v>14</v>
      </c>
      <c r="E9">
        <v>12</v>
      </c>
      <c r="F9">
        <v>0.157</v>
      </c>
      <c r="G9">
        <v>4.3518329047883215</v>
      </c>
      <c r="H9">
        <v>4.945264664532184</v>
      </c>
      <c r="I9">
        <v>0.8529867550832637</v>
      </c>
      <c r="J9">
        <v>0.969303130776436</v>
      </c>
      <c r="K9">
        <v>0.948425981431976</v>
      </c>
      <c r="L9" t="inlineStr">
        <is>
          <t>opens to ninth or acts as high-note/tuning vent</t>
        </is>
      </c>
    </row>
    <row r="10">
      <c r="A10" t="inlineStr">
        <is>
          <t>GEM-SC-C4</t>
        </is>
      </c>
      <c r="B10" t="inlineStr">
        <is>
          <t>H1</t>
        </is>
      </c>
      <c r="C10" t="inlineStr">
        <is>
          <t>front distal</t>
        </is>
      </c>
      <c r="D10">
        <v>2</v>
      </c>
      <c r="E10">
        <v>0</v>
      </c>
      <c r="F10">
        <v>0.479</v>
      </c>
      <c r="G10">
        <v>8.8615</v>
      </c>
      <c r="H10">
        <v>10.069886363636364</v>
      </c>
      <c r="I10">
        <v>0.23473325318768304</v>
      </c>
      <c r="J10">
        <v>0.26674233316782164</v>
      </c>
      <c r="K10">
        <v>0.14246816441579327</v>
      </c>
      <c r="L10" t="inlineStr">
        <is>
          <t>open first for scale degree 2</t>
        </is>
      </c>
    </row>
    <row r="11">
      <c r="A11" t="inlineStr">
        <is>
          <t>GEM-SC-C4</t>
        </is>
      </c>
      <c r="B11" t="inlineStr">
        <is>
          <t>H2</t>
        </is>
      </c>
      <c r="C11" t="inlineStr">
        <is>
          <t>front</t>
        </is>
      </c>
      <c r="D11">
        <v>4</v>
      </c>
      <c r="E11">
        <v>2</v>
      </c>
      <c r="F11">
        <v>0.424</v>
      </c>
      <c r="G11">
        <v>7.843999999999999</v>
      </c>
      <c r="H11">
        <v>8.913636363636364</v>
      </c>
      <c r="I11">
        <v>0.2698798075066718</v>
      </c>
      <c r="J11">
        <v>0.30668159943939977</v>
      </c>
      <c r="K11">
        <v>0.17949863928734155</v>
      </c>
      <c r="L11" t="inlineStr">
        <is>
          <t>open second for scale degree 3</t>
        </is>
      </c>
    </row>
    <row r="12">
      <c r="A12" t="inlineStr">
        <is>
          <t>GEM-SC-C4</t>
        </is>
      </c>
      <c r="B12" t="inlineStr">
        <is>
          <t>H3</t>
        </is>
      </c>
      <c r="C12" t="inlineStr">
        <is>
          <t>front</t>
        </is>
      </c>
      <c r="D12">
        <v>5</v>
      </c>
      <c r="E12">
        <v>4</v>
      </c>
      <c r="F12">
        <v>0.369</v>
      </c>
      <c r="G12">
        <v>6.8265</v>
      </c>
      <c r="H12">
        <v>7.757386363636364</v>
      </c>
      <c r="I12">
        <v>0.1976668233490946</v>
      </c>
      <c r="J12">
        <v>0.2246213901694257</v>
      </c>
      <c r="K12">
        <v>0.10655272458028146</v>
      </c>
      <c r="L12" t="inlineStr">
        <is>
          <t>open third for scale degree 4</t>
        </is>
      </c>
    </row>
    <row r="13">
      <c r="A13" t="inlineStr">
        <is>
          <t>GEM-SC-C4</t>
        </is>
      </c>
      <c r="B13" t="inlineStr">
        <is>
          <t>H4</t>
        </is>
      </c>
      <c r="C13" t="inlineStr">
        <is>
          <t>front</t>
        </is>
      </c>
      <c r="D13">
        <v>7</v>
      </c>
      <c r="E13">
        <v>5</v>
      </c>
      <c r="F13">
        <v>0.316</v>
      </c>
      <c r="G13">
        <v>5.846</v>
      </c>
      <c r="H13">
        <v>6.6431818181818185</v>
      </c>
      <c r="I13">
        <v>0.33448247946885634</v>
      </c>
      <c r="J13">
        <v>0.3800937266691549</v>
      </c>
      <c r="K13">
        <v>0.2538494101076747</v>
      </c>
      <c r="L13" t="inlineStr">
        <is>
          <t>open fourth for scale degree 5</t>
        </is>
      </c>
    </row>
    <row r="14">
      <c r="A14" t="inlineStr">
        <is>
          <t>GEM-SC-C4</t>
        </is>
      </c>
      <c r="B14" t="inlineStr">
        <is>
          <t>H5</t>
        </is>
      </c>
      <c r="C14" t="inlineStr">
        <is>
          <t>front</t>
        </is>
      </c>
      <c r="D14">
        <v>9</v>
      </c>
      <c r="E14">
        <v>7</v>
      </c>
      <c r="F14">
        <v>0.263</v>
      </c>
      <c r="G14">
        <v>4.8655</v>
      </c>
      <c r="H14">
        <v>5.528977272727273</v>
      </c>
      <c r="I14">
        <v>0.38746268001339434</v>
      </c>
      <c r="J14">
        <v>0.44029850001522086</v>
      </c>
      <c r="K14">
        <v>0.3198302152980557</v>
      </c>
      <c r="L14" t="inlineStr">
        <is>
          <t>open fifth for scale degree 6</t>
        </is>
      </c>
    </row>
    <row r="15">
      <c r="A15" t="inlineStr">
        <is>
          <t>GEM-SC-C4</t>
        </is>
      </c>
      <c r="B15" t="inlineStr">
        <is>
          <t>H6</t>
        </is>
      </c>
      <c r="C15" t="inlineStr">
        <is>
          <t>front</t>
        </is>
      </c>
      <c r="D15">
        <v>11</v>
      </c>
      <c r="E15">
        <v>9</v>
      </c>
      <c r="F15">
        <v>0.21</v>
      </c>
      <c r="G15">
        <v>3.885</v>
      </c>
      <c r="H15">
        <v>4.4147727272727275</v>
      </c>
      <c r="I15">
        <v>0.4504177022723498</v>
      </c>
      <c r="J15">
        <v>0.5118382980367611</v>
      </c>
      <c r="K15">
        <v>0.4029608206464294</v>
      </c>
      <c r="L15" t="inlineStr">
        <is>
          <t>open sixth for scale degree 7</t>
        </is>
      </c>
    </row>
    <row r="16">
      <c r="A16" t="inlineStr">
        <is>
          <t>GEM-SC-C4</t>
        </is>
      </c>
      <c r="B16" t="inlineStr">
        <is>
          <t>H7</t>
        </is>
      </c>
      <c r="C16" t="inlineStr">
        <is>
          <t>front proximal</t>
        </is>
      </c>
      <c r="D16">
        <v>12</v>
      </c>
      <c r="E16">
        <v>11</v>
      </c>
      <c r="F16">
        <v>0.157</v>
      </c>
      <c r="G16">
        <v>2.9045</v>
      </c>
      <c r="H16">
        <v>3.300568181818182</v>
      </c>
      <c r="I16">
        <v>0.32224014965333553</v>
      </c>
      <c r="J16">
        <v>0.36618198824242676</v>
      </c>
      <c r="K16">
        <v>0.23920277897065442</v>
      </c>
      <c r="L16" t="inlineStr">
        <is>
          <t>open seventh for octave</t>
        </is>
      </c>
    </row>
    <row r="17">
      <c r="A17" t="inlineStr">
        <is>
          <t>GEM-SC-C4</t>
        </is>
      </c>
      <c r="B17" t="inlineStr">
        <is>
          <t>T1</t>
        </is>
      </c>
      <c r="C17" t="inlineStr">
        <is>
          <t>back thumb</t>
        </is>
      </c>
      <c r="D17">
        <v>14</v>
      </c>
      <c r="E17">
        <v>12</v>
      </c>
      <c r="F17">
        <v>0.157</v>
      </c>
      <c r="G17">
        <v>2.9045</v>
      </c>
      <c r="H17">
        <v>3.300568181818182</v>
      </c>
      <c r="I17">
        <v>0.5686584579317411</v>
      </c>
      <c r="J17">
        <v>0.6462027931042512</v>
      </c>
      <c r="K17">
        <v>0.5698726576631731</v>
      </c>
      <c r="L17" t="inlineStr">
        <is>
          <t>opens to ninth or acts as high-note/tuning vent</t>
        </is>
      </c>
    </row>
    <row r="18">
      <c r="A18" t="inlineStr">
        <is>
          <t>GEM-SC-F4</t>
        </is>
      </c>
      <c r="B18" t="inlineStr">
        <is>
          <t>H1</t>
        </is>
      </c>
      <c r="C18" t="inlineStr">
        <is>
          <t>front distal</t>
        </is>
      </c>
      <c r="D18">
        <v>2</v>
      </c>
      <c r="E18">
        <v>0</v>
      </c>
      <c r="F18">
        <v>0.479</v>
      </c>
      <c r="G18">
        <v>6.638624080871357</v>
      </c>
      <c r="H18">
        <v>7.543891000990178</v>
      </c>
      <c r="I18">
        <v>0.1780249162257365</v>
      </c>
      <c r="J18">
        <v>0.20230104116560965</v>
      </c>
      <c r="K18">
        <v>0.10170708946198327</v>
      </c>
      <c r="L18" t="inlineStr">
        <is>
          <t>open first for scale degree 2</t>
        </is>
      </c>
    </row>
    <row r="19">
      <c r="A19" t="inlineStr">
        <is>
          <t>GEM-SC-F4</t>
        </is>
      </c>
      <c r="B19" t="inlineStr">
        <is>
          <t>H2</t>
        </is>
      </c>
      <c r="C19" t="inlineStr">
        <is>
          <t>front</t>
        </is>
      </c>
      <c r="D19">
        <v>4</v>
      </c>
      <c r="E19">
        <v>2</v>
      </c>
      <c r="F19">
        <v>0.424</v>
      </c>
      <c r="G19">
        <v>5.876360355510345</v>
      </c>
      <c r="H19">
        <v>6.677682222170847</v>
      </c>
      <c r="I19">
        <v>0.20434120352953186</v>
      </c>
      <c r="J19">
        <v>0.23220591310174074</v>
      </c>
      <c r="K19">
        <v>0.1281429029366937</v>
      </c>
      <c r="L19" t="inlineStr">
        <is>
          <t>open second for scale degree 3</t>
        </is>
      </c>
    </row>
    <row r="20">
      <c r="A20" t="inlineStr">
        <is>
          <t>GEM-SC-F4</t>
        </is>
      </c>
      <c r="B20" t="inlineStr">
        <is>
          <t>H3</t>
        </is>
      </c>
      <c r="C20" t="inlineStr">
        <is>
          <t>front</t>
        </is>
      </c>
      <c r="D20">
        <v>5</v>
      </c>
      <c r="E20">
        <v>4</v>
      </c>
      <c r="F20">
        <v>0.369</v>
      </c>
      <c r="G20">
        <v>5.114096630149334</v>
      </c>
      <c r="H20">
        <v>5.811473443351516</v>
      </c>
      <c r="I20">
        <v>0.15019190659754858</v>
      </c>
      <c r="J20">
        <v>0.17067262113357792</v>
      </c>
      <c r="K20">
        <v>0.07606729219642701</v>
      </c>
      <c r="L20" t="inlineStr">
        <is>
          <t>open third for scale degree 4</t>
        </is>
      </c>
    </row>
    <row r="21">
      <c r="A21" t="inlineStr">
        <is>
          <t>GEM-SC-F4</t>
        </is>
      </c>
      <c r="B21" t="inlineStr">
        <is>
          <t>H4</t>
        </is>
      </c>
      <c r="C21" t="inlineStr">
        <is>
          <t>front</t>
        </is>
      </c>
      <c r="D21">
        <v>7</v>
      </c>
      <c r="E21">
        <v>5</v>
      </c>
      <c r="F21">
        <v>0.316</v>
      </c>
      <c r="G21">
        <v>4.379551585710541</v>
      </c>
      <c r="H21">
        <v>4.976763165580159</v>
      </c>
      <c r="I21">
        <v>0.2525425912731661</v>
      </c>
      <c r="J21">
        <v>0.28698021735587054</v>
      </c>
      <c r="K21">
        <v>0.18122143125493145</v>
      </c>
      <c r="L21" t="inlineStr">
        <is>
          <t>open fourth for scale degree 5</t>
        </is>
      </c>
    </row>
    <row r="22">
      <c r="A22" t="inlineStr">
        <is>
          <t>GEM-SC-F4</t>
        </is>
      </c>
      <c r="B22" t="inlineStr">
        <is>
          <t>H5</t>
        </is>
      </c>
      <c r="C22" t="inlineStr">
        <is>
          <t>front</t>
        </is>
      </c>
      <c r="D22">
        <v>9</v>
      </c>
      <c r="E22">
        <v>7</v>
      </c>
      <c r="F22">
        <v>0.263</v>
      </c>
      <c r="G22">
        <v>3.6450065412717474</v>
      </c>
      <c r="H22">
        <v>4.142052887808804</v>
      </c>
      <c r="I22">
        <v>0.29192616609804606</v>
      </c>
      <c r="J22">
        <v>0.3317342796568705</v>
      </c>
      <c r="K22">
        <v>0.2283246959301648</v>
      </c>
      <c r="L22" t="inlineStr">
        <is>
          <t>open fifth for scale degree 6</t>
        </is>
      </c>
    </row>
    <row r="23">
      <c r="A23" t="inlineStr">
        <is>
          <t>GEM-SC-F4</t>
        </is>
      </c>
      <c r="B23" t="inlineStr">
        <is>
          <t>H6</t>
        </is>
      </c>
      <c r="C23" t="inlineStr">
        <is>
          <t>front</t>
        </is>
      </c>
      <c r="D23">
        <v>11</v>
      </c>
      <c r="E23">
        <v>9</v>
      </c>
      <c r="F23">
        <v>0.21</v>
      </c>
      <c r="G23">
        <v>2.910461496832954</v>
      </c>
      <c r="H23">
        <v>3.307342610037448</v>
      </c>
      <c r="I23">
        <v>0.33857542304321</v>
      </c>
      <c r="J23">
        <v>0.3847447989127386</v>
      </c>
      <c r="K23">
        <v>0.28767109061326074</v>
      </c>
      <c r="L23" t="inlineStr">
        <is>
          <t>open sixth for scale degree 7</t>
        </is>
      </c>
    </row>
    <row r="24">
      <c r="A24" t="inlineStr">
        <is>
          <t>GEM-SC-F4</t>
        </is>
      </c>
      <c r="B24" t="inlineStr">
        <is>
          <t>H7</t>
        </is>
      </c>
      <c r="C24" t="inlineStr">
        <is>
          <t>front proximal</t>
        </is>
      </c>
      <c r="D24">
        <v>12</v>
      </c>
      <c r="E24">
        <v>11</v>
      </c>
      <c r="F24">
        <v>0.157</v>
      </c>
      <c r="G24">
        <v>2.1759164523941608</v>
      </c>
      <c r="H24">
        <v>2.472632332266092</v>
      </c>
      <c r="I24">
        <v>0.24342412874240857</v>
      </c>
      <c r="J24">
        <v>0.2766183281163734</v>
      </c>
      <c r="K24">
        <v>0.1707652972162981</v>
      </c>
      <c r="L24" t="inlineStr">
        <is>
          <t>open seventh for octave</t>
        </is>
      </c>
    </row>
    <row r="25">
      <c r="A25" t="inlineStr">
        <is>
          <t>GEM-SC-F4</t>
        </is>
      </c>
      <c r="B25" t="inlineStr">
        <is>
          <t>T1</t>
        </is>
      </c>
      <c r="C25" t="inlineStr">
        <is>
          <t>back thumb</t>
        </is>
      </c>
      <c r="D25">
        <v>14</v>
      </c>
      <c r="E25">
        <v>12</v>
      </c>
      <c r="F25">
        <v>0.157</v>
      </c>
      <c r="G25">
        <v>2.1759164523941608</v>
      </c>
      <c r="H25">
        <v>2.472632332266092</v>
      </c>
      <c r="I25">
        <v>0.42581974729242505</v>
      </c>
      <c r="J25">
        <v>0.4838860764686648</v>
      </c>
      <c r="K25">
        <v>0.4068283578479331</v>
      </c>
      <c r="L25" t="inlineStr">
        <is>
          <t>opens to ninth or acts as high-note/tuning vent</t>
        </is>
      </c>
    </row>
    <row r="26">
      <c r="A26" t="inlineStr">
        <is>
          <t>GEM-SC-C5</t>
        </is>
      </c>
      <c r="B26" t="inlineStr">
        <is>
          <t>H1</t>
        </is>
      </c>
      <c r="C26" t="inlineStr">
        <is>
          <t>front distal</t>
        </is>
      </c>
      <c r="D26">
        <v>2</v>
      </c>
      <c r="E26">
        <v>0</v>
      </c>
      <c r="F26">
        <v>0.479</v>
      </c>
      <c r="G26">
        <v>4.43075</v>
      </c>
      <c r="H26">
        <v>5.034943181818182</v>
      </c>
      <c r="I26">
        <v>0.12077498449837637</v>
      </c>
      <c r="J26">
        <v>0.1372443005663368</v>
      </c>
      <c r="K26">
        <v>0.0631794314432892</v>
      </c>
      <c r="L26" t="inlineStr">
        <is>
          <t>open first for scale degree 2</t>
        </is>
      </c>
    </row>
    <row r="27">
      <c r="A27" t="inlineStr">
        <is>
          <t>GEM-SC-C5</t>
        </is>
      </c>
      <c r="B27" t="inlineStr">
        <is>
          <t>H2</t>
        </is>
      </c>
      <c r="C27" t="inlineStr">
        <is>
          <t>front</t>
        </is>
      </c>
      <c r="D27">
        <v>4</v>
      </c>
      <c r="E27">
        <v>2</v>
      </c>
      <c r="F27">
        <v>0.424</v>
      </c>
      <c r="G27">
        <v>3.9219999999999997</v>
      </c>
      <c r="H27">
        <v>4.456818181818182</v>
      </c>
      <c r="I27">
        <v>0.1383254676405246</v>
      </c>
      <c r="J27">
        <v>0.15718803140968707</v>
      </c>
      <c r="K27">
        <v>0.07960109559579005</v>
      </c>
      <c r="L27" t="inlineStr">
        <is>
          <t>open second for scale degree 3</t>
        </is>
      </c>
    </row>
    <row r="28">
      <c r="A28" t="inlineStr">
        <is>
          <t>GEM-SC-C5</t>
        </is>
      </c>
      <c r="B28" t="inlineStr">
        <is>
          <t>H3</t>
        </is>
      </c>
      <c r="C28" t="inlineStr">
        <is>
          <t>front</t>
        </is>
      </c>
      <c r="D28">
        <v>5</v>
      </c>
      <c r="E28">
        <v>4</v>
      </c>
      <c r="F28">
        <v>0.369</v>
      </c>
      <c r="G28">
        <v>3.41325</v>
      </c>
      <c r="H28">
        <v>3.878693181818182</v>
      </c>
      <c r="I28">
        <v>0.10214184709345199</v>
      </c>
      <c r="J28">
        <v>0.11607028078801362</v>
      </c>
      <c r="K28">
        <v>0.04725224463528851</v>
      </c>
      <c r="L28" t="inlineStr">
        <is>
          <t>open third for scale degree 4</t>
        </is>
      </c>
    </row>
    <row r="29">
      <c r="A29" t="inlineStr">
        <is>
          <t>GEM-SC-C5</t>
        </is>
      </c>
      <c r="B29" t="inlineStr">
        <is>
          <t>H4</t>
        </is>
      </c>
      <c r="C29" t="inlineStr">
        <is>
          <t>front</t>
        </is>
      </c>
      <c r="D29">
        <v>7</v>
      </c>
      <c r="E29">
        <v>5</v>
      </c>
      <c r="F29">
        <v>0.316</v>
      </c>
      <c r="G29">
        <v>2.923</v>
      </c>
      <c r="H29">
        <v>3.3215909090909093</v>
      </c>
      <c r="I29">
        <v>0.17031840770445442</v>
      </c>
      <c r="J29">
        <v>0.1935436451186982</v>
      </c>
      <c r="K29">
        <v>0.11257294897132361</v>
      </c>
      <c r="L29" t="inlineStr">
        <is>
          <t>open fourth for scale degree 5</t>
        </is>
      </c>
    </row>
    <row r="30">
      <c r="A30" t="inlineStr">
        <is>
          <t>GEM-SC-C5</t>
        </is>
      </c>
      <c r="B30" t="inlineStr">
        <is>
          <t>H5</t>
        </is>
      </c>
      <c r="C30" t="inlineStr">
        <is>
          <t>front</t>
        </is>
      </c>
      <c r="D30">
        <v>9</v>
      </c>
      <c r="E30">
        <v>7</v>
      </c>
      <c r="F30">
        <v>0.263</v>
      </c>
      <c r="G30">
        <v>2.43275</v>
      </c>
      <c r="H30">
        <v>2.7644886363636365</v>
      </c>
      <c r="I30">
        <v>0.19632732576027365</v>
      </c>
      <c r="J30">
        <v>0.22309923381849278</v>
      </c>
      <c r="K30">
        <v>0.141833028057712</v>
      </c>
      <c r="L30" t="inlineStr">
        <is>
          <t>open fifth for scale degree 6</t>
        </is>
      </c>
    </row>
    <row r="31">
      <c r="A31" t="inlineStr">
        <is>
          <t>GEM-SC-C5</t>
        </is>
      </c>
      <c r="B31" t="inlineStr">
        <is>
          <t>H6</t>
        </is>
      </c>
      <c r="C31" t="inlineStr">
        <is>
          <t>front</t>
        </is>
      </c>
      <c r="D31">
        <v>11</v>
      </c>
      <c r="E31">
        <v>9</v>
      </c>
      <c r="F31">
        <v>0.21</v>
      </c>
      <c r="G31">
        <v>1.9425</v>
      </c>
      <c r="H31">
        <v>2.2073863636363638</v>
      </c>
      <c r="I31">
        <v>0.2269997939192338</v>
      </c>
      <c r="J31">
        <v>0.2579543112718566</v>
      </c>
      <c r="K31">
        <v>0.1786984176202414</v>
      </c>
      <c r="L31" t="inlineStr">
        <is>
          <t>open sixth for scale degree 7</t>
        </is>
      </c>
    </row>
    <row r="32">
      <c r="A32" t="inlineStr">
        <is>
          <t>GEM-SC-C5</t>
        </is>
      </c>
      <c r="B32" t="inlineStr">
        <is>
          <t>H7</t>
        </is>
      </c>
      <c r="C32" t="inlineStr">
        <is>
          <t>front proximal</t>
        </is>
      </c>
      <c r="D32">
        <v>12</v>
      </c>
      <c r="E32">
        <v>11</v>
      </c>
      <c r="F32">
        <v>0.157</v>
      </c>
      <c r="G32">
        <v>1.45225</v>
      </c>
      <c r="H32">
        <v>1.650284090909091</v>
      </c>
      <c r="I32">
        <v>0.16428037052928715</v>
      </c>
      <c r="J32">
        <v>0.18668223923782631</v>
      </c>
      <c r="K32">
        <v>0.10607770260108304</v>
      </c>
      <c r="L32" t="inlineStr">
        <is>
          <t>open seventh for octave</t>
        </is>
      </c>
    </row>
    <row r="33">
      <c r="A33" t="inlineStr">
        <is>
          <t>GEM-SC-C5</t>
        </is>
      </c>
      <c r="B33" t="inlineStr">
        <is>
          <t>T1</t>
        </is>
      </c>
      <c r="C33" t="inlineStr">
        <is>
          <t>back thumb</t>
        </is>
      </c>
      <c r="D33">
        <v>14</v>
      </c>
      <c r="E33">
        <v>12</v>
      </c>
      <c r="F33">
        <v>0.157</v>
      </c>
      <c r="G33">
        <v>1.45225</v>
      </c>
      <c r="H33">
        <v>1.650284090909091</v>
      </c>
      <c r="I33">
        <v>0.284027336778002</v>
      </c>
      <c r="J33">
        <v>0.32275833724772957</v>
      </c>
      <c r="K33">
        <v>0.2527177257731568</v>
      </c>
      <c r="L33" t="inlineStr">
        <is>
          <t>opens to ninth or acts as high-note/tuning vent</t>
        </is>
      </c>
    </row>
    <row r="34">
      <c r="A34" t="inlineStr">
        <is>
          <t>GEM-SC-F5</t>
        </is>
      </c>
      <c r="B34" t="inlineStr">
        <is>
          <t>H1</t>
        </is>
      </c>
      <c r="C34" t="inlineStr">
        <is>
          <t>front distal</t>
        </is>
      </c>
      <c r="D34">
        <v>2</v>
      </c>
      <c r="E34">
        <v>0</v>
      </c>
      <c r="F34">
        <v>0.479</v>
      </c>
      <c r="G34">
        <v>3.3193120404356784</v>
      </c>
      <c r="H34">
        <v>3.771945500495089</v>
      </c>
      <c r="I34">
        <v>0.09168387203631174</v>
      </c>
      <c r="J34">
        <v>0.10418621822308152</v>
      </c>
      <c r="K34">
        <v>0.04431896921405928</v>
      </c>
      <c r="L34" t="inlineStr">
        <is>
          <t>open first for scale degree 2</t>
        </is>
      </c>
    </row>
    <row r="35">
      <c r="A35" t="inlineStr">
        <is>
          <t>GEM-SC-F5</t>
        </is>
      </c>
      <c r="B35" t="inlineStr">
        <is>
          <t>H2</t>
        </is>
      </c>
      <c r="C35" t="inlineStr">
        <is>
          <t>front</t>
        </is>
      </c>
      <c r="D35">
        <v>4</v>
      </c>
      <c r="E35">
        <v>2</v>
      </c>
      <c r="F35">
        <v>0.424</v>
      </c>
      <c r="G35">
        <v>2.9381801777551724</v>
      </c>
      <c r="H35">
        <v>3.3388411110854235</v>
      </c>
      <c r="I35">
        <v>0.10482276151963091</v>
      </c>
      <c r="J35">
        <v>0.11911677445412604</v>
      </c>
      <c r="K35">
        <v>0.0558384022224361</v>
      </c>
      <c r="L35" t="inlineStr">
        <is>
          <t>open second for scale degree 3</t>
        </is>
      </c>
    </row>
    <row r="36">
      <c r="A36" t="inlineStr">
        <is>
          <t>GEM-SC-F5</t>
        </is>
      </c>
      <c r="B36" t="inlineStr">
        <is>
          <t>H3</t>
        </is>
      </c>
      <c r="C36" t="inlineStr">
        <is>
          <t>front</t>
        </is>
      </c>
      <c r="D36">
        <v>5</v>
      </c>
      <c r="E36">
        <v>4</v>
      </c>
      <c r="F36">
        <v>0.369</v>
      </c>
      <c r="G36">
        <v>2.557048315074667</v>
      </c>
      <c r="H36">
        <v>2.905736721675758</v>
      </c>
      <c r="I36">
        <v>0.07769078027965297</v>
      </c>
      <c r="J36">
        <v>0.08828497759051473</v>
      </c>
      <c r="K36">
        <v>0.03314640109046103</v>
      </c>
      <c r="L36" t="inlineStr">
        <is>
          <t>open third for scale degree 4</t>
        </is>
      </c>
    </row>
    <row r="37">
      <c r="A37" t="inlineStr">
        <is>
          <t>GEM-SC-F5</t>
        </is>
      </c>
      <c r="B37" t="inlineStr">
        <is>
          <t>H4</t>
        </is>
      </c>
      <c r="C37" t="inlineStr">
        <is>
          <t>front</t>
        </is>
      </c>
      <c r="D37">
        <v>7</v>
      </c>
      <c r="E37">
        <v>5</v>
      </c>
      <c r="F37">
        <v>0.316</v>
      </c>
      <c r="G37">
        <v>2.1897757928552704</v>
      </c>
      <c r="H37">
        <v>2.4883815827900797</v>
      </c>
      <c r="I37">
        <v>0.12868010432283777</v>
      </c>
      <c r="J37">
        <v>0.14622739127595202</v>
      </c>
      <c r="K37">
        <v>0.07896742572421316</v>
      </c>
      <c r="L37" t="inlineStr">
        <is>
          <t>open fourth for scale degree 5</t>
        </is>
      </c>
    </row>
    <row r="38">
      <c r="A38" t="inlineStr">
        <is>
          <t>GEM-SC-F5</t>
        </is>
      </c>
      <c r="B38" t="inlineStr">
        <is>
          <t>H5</t>
        </is>
      </c>
      <c r="C38" t="inlineStr">
        <is>
          <t>front</t>
        </is>
      </c>
      <c r="D38">
        <v>9</v>
      </c>
      <c r="E38">
        <v>7</v>
      </c>
      <c r="F38">
        <v>0.263</v>
      </c>
      <c r="G38">
        <v>1.8225032706358737</v>
      </c>
      <c r="H38">
        <v>2.071026443904402</v>
      </c>
      <c r="I38">
        <v>0.14799437533252732</v>
      </c>
      <c r="J38">
        <v>0.1681754265142356</v>
      </c>
      <c r="K38">
        <v>0.09949272192594605</v>
      </c>
      <c r="L38" t="inlineStr">
        <is>
          <t>open fifth for scale degree 6</t>
        </is>
      </c>
    </row>
    <row r="39">
      <c r="A39" t="inlineStr">
        <is>
          <t>GEM-SC-F5</t>
        </is>
      </c>
      <c r="B39" t="inlineStr">
        <is>
          <t>H6</t>
        </is>
      </c>
      <c r="C39" t="inlineStr">
        <is>
          <t>front</t>
        </is>
      </c>
      <c r="D39">
        <v>11</v>
      </c>
      <c r="E39">
        <v>9</v>
      </c>
      <c r="F39">
        <v>0.21</v>
      </c>
      <c r="G39">
        <v>1.455230748416477</v>
      </c>
      <c r="H39">
        <v>1.653671305018724</v>
      </c>
      <c r="I39">
        <v>0.17068862287094522</v>
      </c>
      <c r="J39">
        <v>0.19396434417152866</v>
      </c>
      <c r="K39">
        <v>0.12535297466583653</v>
      </c>
      <c r="L39" t="inlineStr">
        <is>
          <t>open sixth for scale degree 7</t>
        </is>
      </c>
    </row>
    <row r="40">
      <c r="A40" t="inlineStr">
        <is>
          <t>GEM-SC-F5</t>
        </is>
      </c>
      <c r="B40" t="inlineStr">
        <is>
          <t>H7</t>
        </is>
      </c>
      <c r="C40" t="inlineStr">
        <is>
          <t>front proximal</t>
        </is>
      </c>
      <c r="D40">
        <v>12</v>
      </c>
      <c r="E40">
        <v>11</v>
      </c>
      <c r="F40">
        <v>0.157</v>
      </c>
      <c r="G40">
        <v>1.0879582261970804</v>
      </c>
      <c r="H40">
        <v>1.236316166133046</v>
      </c>
      <c r="I40">
        <v>0.1241862377803458</v>
      </c>
      <c r="J40">
        <v>0.14112072475039297</v>
      </c>
      <c r="K40">
        <v>0.07441115452416586</v>
      </c>
      <c r="L40" t="inlineStr">
        <is>
          <t>open seventh for octave</t>
        </is>
      </c>
    </row>
    <row r="41">
      <c r="A41" t="inlineStr">
        <is>
          <t>GEM-SC-F5</t>
        </is>
      </c>
      <c r="B41" t="inlineStr">
        <is>
          <t>T1</t>
        </is>
      </c>
      <c r="C41" t="inlineStr">
        <is>
          <t>back thumb</t>
        </is>
      </c>
      <c r="D41">
        <v>14</v>
      </c>
      <c r="E41">
        <v>12</v>
      </c>
      <c r="F41">
        <v>0.157</v>
      </c>
      <c r="G41">
        <v>1.0879582261970804</v>
      </c>
      <c r="H41">
        <v>1.236316166133046</v>
      </c>
      <c r="I41">
        <v>0.21267378295514722</v>
      </c>
      <c r="J41">
        <v>0.24167475335812183</v>
      </c>
      <c r="K41">
        <v>0.1772758768562371</v>
      </c>
      <c r="L41" t="inlineStr">
        <is>
          <t>opens to ninth or acts as high-note/tuning vent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Instrument ID</t>
        </is>
      </c>
      <c r="B1" t="inlineStr">
        <is>
          <t>Hole</t>
        </is>
      </c>
      <c r="C1" t="inlineStr">
        <is>
          <t>Face</t>
        </is>
      </c>
      <c r="D1" t="inlineStr">
        <is>
          <t>Target interval semitones</t>
        </is>
      </c>
      <c r="E1" t="inlineStr">
        <is>
          <t>Prev interval</t>
        </is>
      </c>
      <c r="F1" t="inlineStr">
        <is>
          <t>Position pct</t>
        </is>
      </c>
      <c r="G1" t="inlineStr">
        <is>
          <t>Fired position in</t>
        </is>
      </c>
      <c r="H1" t="inlineStr">
        <is>
          <t>Master position in</t>
        </is>
      </c>
      <c r="I1" t="inlineStr">
        <is>
          <t>Fired diameter in</t>
        </is>
      </c>
      <c r="J1" t="inlineStr">
        <is>
          <t>Greenware drill start in</t>
        </is>
      </c>
      <c r="K1" t="inlineStr">
        <is>
          <t>Incremental conductance</t>
        </is>
      </c>
      <c r="L1" t="inlineStr">
        <is>
          <t>Notes</t>
        </is>
      </c>
    </row>
    <row r="2">
      <c r="A2" t="inlineStr">
        <is>
          <t>GEM-HIST-G4</t>
        </is>
      </c>
      <c r="B2" t="inlineStr">
        <is>
          <t>F1</t>
        </is>
      </c>
      <c r="C2" t="inlineStr">
        <is>
          <t>front distal</t>
        </is>
      </c>
      <c r="D2">
        <v>2</v>
      </c>
      <c r="E2">
        <v>0</v>
      </c>
      <c r="F2">
        <v>0.43</v>
      </c>
      <c r="G2">
        <v>5.309325519961312</v>
      </c>
      <c r="H2">
        <v>6.03332445450149</v>
      </c>
      <c r="I2">
        <v>0.159360967056364</v>
      </c>
      <c r="J2">
        <v>0.18109200801859543</v>
      </c>
      <c r="K2">
        <v>0.08881663600526805</v>
      </c>
      <c r="L2" t="inlineStr">
        <is>
          <t>whole-tone hole</t>
        </is>
      </c>
    </row>
    <row r="3">
      <c r="A3" t="inlineStr">
        <is>
          <t>GEM-HIST-G4</t>
        </is>
      </c>
      <c r="B3" t="inlineStr">
        <is>
          <t>F2</t>
        </is>
      </c>
      <c r="C3" t="inlineStr">
        <is>
          <t>front</t>
        </is>
      </c>
      <c r="D3">
        <v>4</v>
      </c>
      <c r="E3">
        <v>2</v>
      </c>
      <c r="F3">
        <v>0.34</v>
      </c>
      <c r="G3">
        <v>4.198071341364758</v>
      </c>
      <c r="H3">
        <v>4.770535615187225</v>
      </c>
      <c r="I3">
        <v>0.18280104440010178</v>
      </c>
      <c r="J3">
        <v>0.2077284595455702</v>
      </c>
      <c r="K3">
        <v>0.11190194928388807</v>
      </c>
      <c r="L3" t="inlineStr">
        <is>
          <t>third hole</t>
        </is>
      </c>
    </row>
    <row r="4">
      <c r="A4" t="inlineStr">
        <is>
          <t>GEM-HIST-G4</t>
        </is>
      </c>
      <c r="B4" t="inlineStr">
        <is>
          <t>F3</t>
        </is>
      </c>
      <c r="C4" t="inlineStr">
        <is>
          <t>front</t>
        </is>
      </c>
      <c r="D4">
        <v>5</v>
      </c>
      <c r="E4">
        <v>4</v>
      </c>
      <c r="F4">
        <v>0.27</v>
      </c>
      <c r="G4">
        <v>3.333762535789661</v>
      </c>
      <c r="H4">
        <v>3.7883665179427966</v>
      </c>
      <c r="I4">
        <v>0.13454232564769314</v>
      </c>
      <c r="J4">
        <v>0.15288900641783312</v>
      </c>
      <c r="K4">
        <v>0.06642645108276096</v>
      </c>
      <c r="L4" t="inlineStr">
        <is>
          <t>fourth hole; omit or wax for stricter 3-front interpretation</t>
        </is>
      </c>
    </row>
    <row r="5">
      <c r="A5" t="inlineStr">
        <is>
          <t>GEM-HIST-G4</t>
        </is>
      </c>
      <c r="B5" t="inlineStr">
        <is>
          <t>F4</t>
        </is>
      </c>
      <c r="C5" t="inlineStr">
        <is>
          <t>front proximal</t>
        </is>
      </c>
      <c r="D5">
        <v>7</v>
      </c>
      <c r="E5">
        <v>5</v>
      </c>
      <c r="F5">
        <v>0.205</v>
      </c>
      <c r="G5">
        <v>2.5311900734699275</v>
      </c>
      <c r="H5">
        <v>2.876352356215827</v>
      </c>
      <c r="I5">
        <v>0.2256749536071542</v>
      </c>
      <c r="J5">
        <v>0.25644881091722066</v>
      </c>
      <c r="K5">
        <v>0.15825325433326087</v>
      </c>
      <c r="L5" t="inlineStr">
        <is>
          <t>fifth hole</t>
        </is>
      </c>
    </row>
    <row r="6">
      <c r="A6" t="inlineStr">
        <is>
          <t>GEM-HIST-G4</t>
        </is>
      </c>
      <c r="B6" t="inlineStr">
        <is>
          <t>T1</t>
        </is>
      </c>
      <c r="C6" t="inlineStr">
        <is>
          <t>back thumb</t>
        </is>
      </c>
      <c r="D6">
        <v>12</v>
      </c>
      <c r="E6">
        <v>7</v>
      </c>
      <c r="F6">
        <v>0.205</v>
      </c>
      <c r="G6">
        <v>2.5311900734699275</v>
      </c>
      <c r="H6">
        <v>2.876352356215827</v>
      </c>
      <c r="I6">
        <v>0.5444853852438204</v>
      </c>
      <c r="J6">
        <v>0.6187333923225232</v>
      </c>
      <c r="K6">
        <v>0.599720329443408</v>
      </c>
      <c r="L6" t="inlineStr">
        <is>
          <t>octave-area vent; tune empirically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Formula/Target</t>
        </is>
      </c>
      <c r="C1" t="inlineStr">
        <is>
          <t>Notes</t>
        </is>
      </c>
    </row>
    <row r="2">
      <c r="A2" t="inlineStr">
        <is>
          <t>A4 sanity</t>
        </is>
      </c>
      <c r="B2">
        <f>Inputs!B4</f>
      </c>
      <c r="C2" t="inlineStr">
        <is>
          <t>Should be 440 Hz</t>
        </is>
      </c>
    </row>
    <row r="3">
      <c r="A3" t="inlineStr">
        <is>
          <t>C5 sanity</t>
        </is>
      </c>
      <c r="B3">
        <f>Inputs!B6</f>
      </c>
      <c r="C3" t="inlineStr">
        <is>
          <t>Should be 523.251 Hz</t>
        </is>
      </c>
    </row>
    <row r="4">
      <c r="A4" t="inlineStr">
        <is>
          <t>Shrink master factor</t>
        </is>
      </c>
      <c r="B4">
        <f>1/(1-Inputs!B8)</f>
      </c>
      <c r="C4" t="inlineStr">
        <is>
          <t>All master dimensions scale by this</t>
        </is>
      </c>
    </row>
    <row r="5">
      <c r="A5" t="inlineStr">
        <is>
          <t>Soprano C target volume ml</t>
        </is>
      </c>
      <c r="B5">
        <v>71.55357261466202</v>
      </c>
      <c r="C5" t="inlineStr">
        <is>
          <t>Generated value; compare to water-fill measurement</t>
        </is>
      </c>
    </row>
  </sheetData>
</worksheet>
</file>